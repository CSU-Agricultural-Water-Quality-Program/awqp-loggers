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leybr\Documents\GitHub\awqp-loggers\instructional documents\"/>
    </mc:Choice>
  </mc:AlternateContent>
  <xr:revisionPtr revIDLastSave="0" documentId="13_ncr:1_{A7579689-45A1-4C66-8FE6-46C04C7A654A}" xr6:coauthVersionLast="47" xr6:coauthVersionMax="47" xr10:uidLastSave="{00000000-0000-0000-0000-000000000000}"/>
  <bookViews>
    <workbookView xWindow="-120" yWindow="-120" windowWidth="29040" windowHeight="17790" firstSheet="1" activeTab="1" xr2:uid="{80D2ED8C-A0A6-4A18-8669-4CE8FFF698BE}"/>
  </bookViews>
  <sheets>
    <sheet name="2023" sheetId="1" r:id="rId1"/>
    <sheet name="202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B24" i="2"/>
  <c r="F11" i="2"/>
  <c r="D11" i="2"/>
  <c r="D14" i="2"/>
  <c r="F14" i="2" s="1"/>
  <c r="B34" i="2"/>
  <c r="D22" i="2"/>
  <c r="F22" i="2" s="1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4" i="2"/>
  <c r="F4" i="2" s="1"/>
</calcChain>
</file>

<file path=xl/sharedStrings.xml><?xml version="1.0" encoding="utf-8"?>
<sst xmlns="http://schemas.openxmlformats.org/spreadsheetml/2006/main" count="122" uniqueCount="84">
  <si>
    <t>Main Items</t>
  </si>
  <si>
    <t xml:space="preserve">Item Name </t>
  </si>
  <si>
    <t xml:space="preserve">Price </t>
  </si>
  <si>
    <t>qty</t>
  </si>
  <si>
    <t>Link</t>
  </si>
  <si>
    <t>SHT 31 Sensor Probe</t>
  </si>
  <si>
    <t>https://www.amazon.com/gp/product/B09NYDCKF2/ref=ppx_yo_dt_b_search_asin_title?ie=UTF8&amp;th=1</t>
  </si>
  <si>
    <t>Waterproof Polarized 4-Wire Cable Set</t>
  </si>
  <si>
    <t>https://www.adafruit.com/product/744</t>
  </si>
  <si>
    <t>Adafruit Micro Lipo - USB LiIon/LiPoly Charger</t>
  </si>
  <si>
    <t>https://www.adafruit.com/product/1304</t>
  </si>
  <si>
    <t>Lithium Ion Battery Pack - 3.7V 4400mAh</t>
  </si>
  <si>
    <t>https://www.adafruit.com/product/354</t>
  </si>
  <si>
    <t>Grove Shield FeatherWing for Particle Mesh and all Feathers</t>
  </si>
  <si>
    <t>https://www.adafruit.com/product/4309</t>
  </si>
  <si>
    <t>6V 2W Solar Panel - ETFE - Voltaic P126</t>
  </si>
  <si>
    <t>https://www.adafruit.com/product/5366</t>
  </si>
  <si>
    <t>3D Mount for the Grove Shield FeatherWing for Particle with LiPo</t>
  </si>
  <si>
    <t>https://www.printables.com/model/677827-mount-for-the-grove-shield-featherwing-for-particl</t>
  </si>
  <si>
    <t>Boron LTE CAT-M1 for North America (BRN404X)</t>
  </si>
  <si>
    <t>https://store.particle.io/collections/cellular/products/boron-lte-cat-m1-noram-with-ethersim-4th-gen</t>
  </si>
  <si>
    <t>Waterproof Enclosure (Old)</t>
  </si>
  <si>
    <t>https://www.amazon.com/dp/B0787B1GT3/ref=redir_mobile_desktop?_encoding=UTF8&amp;ref_=yo_ii_img&amp;th=1</t>
  </si>
  <si>
    <t>Waterproof Enclosure (NEW)</t>
  </si>
  <si>
    <t>https://www.amazon.com/dp/B0BZR3GZ4V/ref=twister_B0B87THLGC?_encoding=UTF8&amp;psc=1</t>
  </si>
  <si>
    <t>3/4" Push Install Type EMT T Conduit Body</t>
  </si>
  <si>
    <t>https://www.amazon.com/Southwire-TB-075-Push-Install-Conduit/dp/B07RWPTQP2/ref=sr_1_3?crid=1F9PZY70WYCOZ&amp;keywords=push+install+type+emt+t+conduit+body%2C+gray&amp;qid=1702331973&amp;s=hi&amp;sprefix=ush+install+type+emt+t+conduit+body%2C+gray%2Ctools%2C127&amp;sr=1-3</t>
  </si>
  <si>
    <t xml:space="preserve">Packs of Items </t>
  </si>
  <si>
    <t>Silica Pack (30 pack)</t>
  </si>
  <si>
    <t>https://www.amazon.com/Dry-Premium-Packets-Desiccants-Dehumidifier/dp/B00VJ02VMK/ref=sr_1_3?crid=27DLR5YA4ZQID&amp;keywords=10g%2Bsilica%2Bgel%2Bpackets&amp;qid=1675185727&amp;sprefix=10%2Bg%2Bsilica%2B%2Caps%2C139&amp;sr=8-3&amp;th=1</t>
  </si>
  <si>
    <t>White Solder Seal Wire Connectors AWG26-24</t>
  </si>
  <si>
    <t>https://www.amazon.com/gp/product/B09BHW6BWC/ref=ppx_yo_dt_b_search_asin_title?ie=UTF8&amp;psc=1</t>
  </si>
  <si>
    <t>3/16" Heat Shrink Tubing  (50ft)</t>
  </si>
  <si>
    <t>https://www.amazon.com/gp/product/B08WB2HR66/ref=ppx_yo_dt_b_search_asin_title?ie=UTF8&amp;th=1</t>
  </si>
  <si>
    <t>22 Gauge 4 Conductor Wire (65 ft)</t>
  </si>
  <si>
    <t>https://www.amazon.com/gp/product/B0BV2QHVMB/ref=ppx_yo_dt_b_search_asin_title?ie=UTF8&amp;psc=1</t>
  </si>
  <si>
    <t>Cable Gland (20 Pack) PG7 Waterproof</t>
  </si>
  <si>
    <t>https://www.amazon.com/AMPELE-Waterproof-Plastic-Adjustable-3-5-6mm/dp/B08TCFM4C7/ref=sxts_b2b_sx_reorder_acb_customer?content-id=amzn1.sym.44ecadb3-1930-4ae5-8e7f-c0670e7d86ce%3Aamzn1.sym.44ecadb3-1930-4ae5-8e7f-c0670e7d86ce&amp;crid=1OH62VJ42NK1U&amp;cv_ct_cx=pg7%2Bcable%2Bgland&amp;keywords=pg7%2Bcable%2Bgland&amp;pd_rd_i=B09X4GK3FT&amp;pd_rd_r=d5becbf4-0c5a-42a5-abc4-9cc85186de9b&amp;pd_rd_w=O3qY1&amp;pd_rd_wg=9baEq&amp;pf_rd_p=44ecadb3-1930-4ae5-8e7f-c0670e7d86ce&amp;pf_rd_r=2YZKZZNZ8KDT9W166GAZ&amp;qid=1702330671&amp;sbo=RZvfv%2F%2FHxDF%2BO5021pAnSA%3D%3D&amp;sprefix=PG7%2B%2Caps%2C132&amp;sr=1-1-62d64017-76a9-4f2a-8002-d7ec97456eea&amp;th=1</t>
  </si>
  <si>
    <t>3/4 in. Electrical Metallic Tube Raintight Compression Connectors (20-Pack)</t>
  </si>
  <si>
    <t>https://www.homedepot.com/p/Halex-3-4-in-Electrical-Metallic-Tube-Raintight-Compression-Connectors-20-Pack-62502B/300183944</t>
  </si>
  <si>
    <t xml:space="preserve">Petg filaments </t>
  </si>
  <si>
    <t>https://www.amazon.com/OVERTURE-Filament-Consumables-Dimensional-Accuracy/dp/B07PDV9RC8/ref=sr_1_1?crid=2LUS5BQKVKM69&amp;keywords=overture%2Bpetg&amp;qid=1702331647&amp;sprefix=%2Caps%2C131&amp;sr=8-1&amp;th=1</t>
  </si>
  <si>
    <t>SeeedStudio Grove - Universal 4 Pin Buckled 20cm Cable (5 PCs Pack)</t>
  </si>
  <si>
    <t>https://www.amazon.com/Seeedstudio-Grove-Universal-Buckled-Cable/dp/B01CNZ9RJO?th=1</t>
  </si>
  <si>
    <t>unit</t>
  </si>
  <si>
    <t>$/unit</t>
  </si>
  <si>
    <t>Total/sensor</t>
  </si>
  <si>
    <t>each</t>
  </si>
  <si>
    <t>Packs of Items (You have to buy at least one pack)</t>
  </si>
  <si>
    <t>30 pk</t>
  </si>
  <si>
    <t>500 pk</t>
  </si>
  <si>
    <t>1/4" Heat Shrink Tubing  (50ft)</t>
  </si>
  <si>
    <t>50 ft</t>
  </si>
  <si>
    <t>65 ft</t>
  </si>
  <si>
    <t>20 pk</t>
  </si>
  <si>
    <t>5 pk</t>
  </si>
  <si>
    <t>Fastening Cable Ties Reusable</t>
  </si>
  <si>
    <t>60 pk</t>
  </si>
  <si>
    <t>https://www.amazon.com/gp/product/B07V73G556/ref=ppx_yo_dt_b_search_asin_title?ie=UTF8&amp;psc=1</t>
  </si>
  <si>
    <t>3/4 in. 1-Hole Strap</t>
  </si>
  <si>
    <t>4 pk</t>
  </si>
  <si>
    <t>https://www.homedepot.com/p/Halex-Universal-3-4-in-1-Hole-Strap-4-Pack-22107/314968705?source=shoppingads&amp;locale=en-US&amp;pla&amp;mtc=SHOPPING-BF-CDP-GGL-D27-027_006_CONDUIT_FIT-NA-NA-NA-PMAX-NA-NA-NA-NA-NBR-NA-NA-NEW-NA_D27Transition&amp;cm_mmc=SHOPPING-BF-CDP-GGL-D27-027_006_CONDUIT_FIT-NA-NA-NA-PMAX-NA-NA-NA-NA-NBR-NA-NA-NEW-NA_D27Transition-71700000113157690--&amp;gad_source=1&amp;acs_info=ZmluYWxfdXJsOiAiaHR0cHM6Ly93d3cuaG9tZWRlcG90LmNvbS9wL0hhbGV4LVVuaXZlcnNhbC0zLTQtaW4tMS1Ib2xlLVN0cmFwLTQtUGFjay0yMjEwNy8zMTQ5Njg3MDUiCg&amp;gclid=Cj0KCQiAh8OtBhCQARIsAIkWb6-ZNUGk4DF6_8K9b_SG3twg-_4rTYJGDSozB688e1TayXbsJCpro0IaAm47EALw_wcB&amp;gclsrc=aw.ds</t>
  </si>
  <si>
    <t>Total</t>
  </si>
  <si>
    <t>^total including cost to buy bulk items</t>
  </si>
  <si>
    <t>^total when accounting for using the exact number of parts</t>
  </si>
  <si>
    <t>Please Email AJ Brown or Emmanuel Deleon for questions or substitutes when parts are out of stock:</t>
  </si>
  <si>
    <t>Ansley.Brown@colostate.edu</t>
  </si>
  <si>
    <t>E.Deleon@colostate.edu</t>
  </si>
  <si>
    <t>Recommended Tools</t>
  </si>
  <si>
    <t>Cone Drill Bit</t>
  </si>
  <si>
    <t>https://a.co/d/d9EyOLx</t>
  </si>
  <si>
    <t>Magnetic Soldering Alligator Clips</t>
  </si>
  <si>
    <t>https://www.amazon.com/KOTTO-Soldering-Magnetic-Flexible-Workshop/dp/B083SFWLW7/ref=sr_1_97?crid=1W1WI7KFN5MOK&amp;keywords=magnetic%2Balligator%2Bclips&amp;qid=1707339995&amp;sprefix=magnetic%2Balli%2Caps%2C106&amp;sr=8-97&amp;th=1</t>
  </si>
  <si>
    <t>https://www.amazon.com/IRWIN-VISE-GRIP-2078300-Self-Adjusting-Stripper/dp/B000OQ21CA/ref=sr_1_15?crid=379UHPQLB7G9D&amp;keywords=wire%2Bstripper&amp;qid=1707340653&amp;sprefix=wire%2Bs%2Caps%2C123&amp;sr=8-15&amp;th=1</t>
  </si>
  <si>
    <t>Wire Stripper</t>
  </si>
  <si>
    <t>Mini Heat Gun</t>
  </si>
  <si>
    <t>Magnifying Glass w/ Light</t>
  </si>
  <si>
    <t>https://www.amazon.com/SEEKONE-Handheld-Reflector-Embossing-Stripping/dp/B08VFY8THD/ref=sr_1_5?crid=3R62NG61UYLY0&amp;keywords=mini+heat+gun&amp;qid=1707340837&amp;sprefix=mini+heat+gun%2Caps%2C94&amp;sr=8-5</t>
  </si>
  <si>
    <t>https://www.amazon.com/Magnifying-Reading-Dimmable-Eye-Caring-Headboard/dp/B09M9YYSGB/ref=sr_1_42?crid=39IAFATUH0IKY&amp;keywords=magnifying%2Bglass%2Bwith%2Blight&amp;qid=1707342855&amp;sprefix=magni%2Caps%2C112&amp;sr=8-42&amp;th=1</t>
  </si>
  <si>
    <t>#6 x ½” Sheet Metal Screws</t>
  </si>
  <si>
    <t>100 pk</t>
  </si>
  <si>
    <t>https://www.amazon.com/Stainless-Phillips-Tapping-Bright-Finish/dp/B08LV1M9FC/ref=sr_1_3?crid=LCO1S41XKHLI&amp;keywords=%236%2B1%2F2%2Bin%2Bsheet%2Bmetal%2Bscrews&amp;qid=1707341265&amp;sprefix=%2B6%2B1%2F2%2Bin%2Bsheet%2Bmetal%2Bscrews%2Caps%2C112&amp;sr=8-3&amp;th=1</t>
  </si>
  <si>
    <t>Radiation Shield (Amazon Version)</t>
  </si>
  <si>
    <t>https://a.co/d/9YjHxkh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</si>
</sst>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2" applyAlignment="1">
      <alignment horizontal="left" vertical="center" readingOrder="1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0" xfId="1" applyFont="1" applyAlignment="1">
      <alignment horizontal="left"/>
    </xf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center"/>
    </xf>
    <xf numFmtId="44" fontId="1" fillId="0" borderId="0" xfId="1" applyFont="1" applyAlignment="1">
      <alignment horizontal="center"/>
    </xf>
    <xf numFmtId="0" fontId="3" fillId="0" borderId="0" xfId="2" applyAlignment="1">
      <alignment horizontal="center"/>
    </xf>
    <xf numFmtId="0" fontId="1" fillId="0" borderId="3" xfId="0" applyFont="1" applyBorder="1" applyAlignment="1">
      <alignment horizontal="center"/>
    </xf>
    <xf numFmtId="44" fontId="1" fillId="0" borderId="3" xfId="0" applyNumberFormat="1" applyFont="1" applyBorder="1" applyAlignment="1">
      <alignment horizontal="center"/>
    </xf>
    <xf numFmtId="44" fontId="1" fillId="0" borderId="3" xfId="1" applyFont="1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.Deleon@colostate.edu" TargetMode="External"/><Relationship Id="rId2" Type="http://schemas.openxmlformats.org/officeDocument/2006/relationships/hyperlink" Target="mailto:Ansley.Brown@colostate.edu" TargetMode="External"/><Relationship Id="rId1" Type="http://schemas.openxmlformats.org/officeDocument/2006/relationships/hyperlink" Target="https://www.amazon.com/gp/product/B07V73G556/ref=ppx_yo_dt_b_search_asin_title?ie=UTF8&amp;psc=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99E0-BEA4-47F7-B473-E7005A64F2A0}">
  <dimension ref="A1:D23"/>
  <sheetViews>
    <sheetView workbookViewId="0"/>
  </sheetViews>
  <sheetFormatPr defaultColWidth="8.85546875" defaultRowHeight="15" x14ac:dyDescent="0.25"/>
  <cols>
    <col min="1" max="1" width="63.42578125" style="1" bestFit="1" customWidth="1"/>
    <col min="2" max="2" width="6.7109375" style="2" customWidth="1"/>
    <col min="3" max="3" width="6.7109375" style="1" customWidth="1"/>
    <col min="4" max="4" width="88" style="3" bestFit="1" customWidth="1"/>
    <col min="5" max="16384" width="8.85546875" style="1"/>
  </cols>
  <sheetData>
    <row r="1" spans="1:4" x14ac:dyDescent="0.25">
      <c r="A1" s="19" t="s">
        <v>0</v>
      </c>
      <c r="B1" s="19"/>
      <c r="C1" s="19"/>
      <c r="D1" s="19"/>
    </row>
    <row r="2" spans="1:4" x14ac:dyDescent="0.25">
      <c r="A2" s="1" t="s">
        <v>1</v>
      </c>
      <c r="B2" s="2" t="s">
        <v>2</v>
      </c>
      <c r="C2" s="1" t="s">
        <v>3</v>
      </c>
      <c r="D2" s="3" t="s">
        <v>4</v>
      </c>
    </row>
    <row r="3" spans="1:4" x14ac:dyDescent="0.25">
      <c r="A3" s="1" t="s">
        <v>5</v>
      </c>
      <c r="B3" s="2">
        <v>18.989999999999998</v>
      </c>
      <c r="C3" s="1">
        <v>1</v>
      </c>
      <c r="D3" s="3" t="s">
        <v>6</v>
      </c>
    </row>
    <row r="4" spans="1:4" x14ac:dyDescent="0.25">
      <c r="A4" s="1" t="s">
        <v>7</v>
      </c>
      <c r="B4" s="2">
        <v>2.5</v>
      </c>
      <c r="C4" s="1">
        <v>1</v>
      </c>
      <c r="D4" s="3" t="s">
        <v>8</v>
      </c>
    </row>
    <row r="5" spans="1:4" x14ac:dyDescent="0.25">
      <c r="A5" s="1" t="s">
        <v>9</v>
      </c>
      <c r="B5" s="2">
        <v>5.95</v>
      </c>
      <c r="C5" s="1">
        <v>1</v>
      </c>
      <c r="D5" s="3" t="s">
        <v>10</v>
      </c>
    </row>
    <row r="6" spans="1:4" x14ac:dyDescent="0.25">
      <c r="A6" s="1" t="s">
        <v>11</v>
      </c>
      <c r="B6" s="2">
        <v>19.95</v>
      </c>
      <c r="C6" s="1">
        <v>2</v>
      </c>
      <c r="D6" s="3" t="s">
        <v>12</v>
      </c>
    </row>
    <row r="7" spans="1:4" x14ac:dyDescent="0.25">
      <c r="A7" s="1" t="s">
        <v>13</v>
      </c>
      <c r="B7" s="2">
        <v>5.95</v>
      </c>
      <c r="C7" s="1">
        <v>1</v>
      </c>
      <c r="D7" s="3" t="s">
        <v>14</v>
      </c>
    </row>
    <row r="8" spans="1:4" x14ac:dyDescent="0.25">
      <c r="A8" s="1" t="s">
        <v>15</v>
      </c>
      <c r="B8" s="2">
        <v>20.95</v>
      </c>
      <c r="C8" s="1">
        <v>1</v>
      </c>
      <c r="D8" s="3" t="s">
        <v>16</v>
      </c>
    </row>
    <row r="9" spans="1:4" x14ac:dyDescent="0.25">
      <c r="A9" s="1" t="s">
        <v>17</v>
      </c>
      <c r="C9" s="1">
        <v>1</v>
      </c>
      <c r="D9" s="3" t="s">
        <v>18</v>
      </c>
    </row>
    <row r="10" spans="1:4" x14ac:dyDescent="0.25">
      <c r="A10" s="1" t="s">
        <v>19</v>
      </c>
      <c r="B10" s="2">
        <v>65</v>
      </c>
      <c r="C10" s="1">
        <v>1</v>
      </c>
      <c r="D10" s="3" t="s">
        <v>20</v>
      </c>
    </row>
    <row r="11" spans="1:4" x14ac:dyDescent="0.25">
      <c r="A11" s="1" t="s">
        <v>21</v>
      </c>
      <c r="B11" s="2">
        <v>9.99</v>
      </c>
      <c r="C11" s="1">
        <v>1</v>
      </c>
      <c r="D11" s="3" t="s">
        <v>22</v>
      </c>
    </row>
    <row r="12" spans="1:4" x14ac:dyDescent="0.25">
      <c r="A12" s="1" t="s">
        <v>23</v>
      </c>
      <c r="B12" s="2">
        <v>19.989999999999998</v>
      </c>
      <c r="C12" s="1">
        <v>1</v>
      </c>
      <c r="D12" s="3" t="s">
        <v>24</v>
      </c>
    </row>
    <row r="13" spans="1:4" x14ac:dyDescent="0.25">
      <c r="A13" s="1" t="s">
        <v>25</v>
      </c>
      <c r="B13" s="2">
        <v>14.99</v>
      </c>
      <c r="C13" s="1">
        <v>1</v>
      </c>
      <c r="D13" s="3" t="s">
        <v>26</v>
      </c>
    </row>
    <row r="15" spans="1:4" x14ac:dyDescent="0.25">
      <c r="A15" s="19" t="s">
        <v>27</v>
      </c>
      <c r="B15" s="19"/>
      <c r="C15" s="19"/>
      <c r="D15" s="19"/>
    </row>
    <row r="16" spans="1:4" x14ac:dyDescent="0.25">
      <c r="A16" s="1" t="s">
        <v>28</v>
      </c>
      <c r="B16" s="2">
        <v>9.99</v>
      </c>
      <c r="C16" s="1">
        <v>1</v>
      </c>
      <c r="D16" s="3" t="s">
        <v>29</v>
      </c>
    </row>
    <row r="17" spans="1:4" x14ac:dyDescent="0.25">
      <c r="A17" s="1" t="s">
        <v>30</v>
      </c>
      <c r="B17" s="2">
        <v>33.99</v>
      </c>
      <c r="C17" s="1">
        <v>1</v>
      </c>
      <c r="D17" s="3" t="s">
        <v>31</v>
      </c>
    </row>
    <row r="18" spans="1:4" x14ac:dyDescent="0.25">
      <c r="A18" s="1" t="s">
        <v>32</v>
      </c>
      <c r="B18" s="2">
        <v>21.55</v>
      </c>
      <c r="C18" s="1">
        <v>1</v>
      </c>
      <c r="D18" s="3" t="s">
        <v>33</v>
      </c>
    </row>
    <row r="19" spans="1:4" x14ac:dyDescent="0.25">
      <c r="A19" s="1" t="s">
        <v>34</v>
      </c>
      <c r="B19" s="2">
        <v>27.88</v>
      </c>
      <c r="C19" s="1">
        <v>1</v>
      </c>
      <c r="D19" s="3" t="s">
        <v>35</v>
      </c>
    </row>
    <row r="20" spans="1:4" x14ac:dyDescent="0.25">
      <c r="A20" s="1" t="s">
        <v>36</v>
      </c>
      <c r="B20" s="2">
        <v>7.99</v>
      </c>
      <c r="C20" s="1">
        <v>1</v>
      </c>
      <c r="D20" s="3" t="s">
        <v>37</v>
      </c>
    </row>
    <row r="21" spans="1:4" x14ac:dyDescent="0.25">
      <c r="A21" s="1" t="s">
        <v>38</v>
      </c>
      <c r="B21" s="2">
        <v>25.27</v>
      </c>
      <c r="C21" s="1">
        <v>1</v>
      </c>
      <c r="D21" s="3" t="s">
        <v>39</v>
      </c>
    </row>
    <row r="22" spans="1:4" x14ac:dyDescent="0.25">
      <c r="A22" s="1" t="s">
        <v>40</v>
      </c>
      <c r="B22" s="2">
        <v>20</v>
      </c>
      <c r="C22" s="1">
        <v>1</v>
      </c>
      <c r="D22" s="3" t="s">
        <v>41</v>
      </c>
    </row>
    <row r="23" spans="1:4" x14ac:dyDescent="0.25">
      <c r="A23" s="1" t="s">
        <v>42</v>
      </c>
      <c r="B23" s="2">
        <v>8.59</v>
      </c>
      <c r="C23" s="1">
        <v>1</v>
      </c>
      <c r="D23" s="3" t="s">
        <v>43</v>
      </c>
    </row>
  </sheetData>
  <mergeCells count="2">
    <mergeCell ref="A1:D1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2117-29E3-4FE2-AB8A-EAB84811DFDE}">
  <dimension ref="A1:G39"/>
  <sheetViews>
    <sheetView tabSelected="1" workbookViewId="0">
      <selection activeCell="G32" sqref="G32"/>
    </sheetView>
  </sheetViews>
  <sheetFormatPr defaultColWidth="8.85546875" defaultRowHeight="15" x14ac:dyDescent="0.25"/>
  <cols>
    <col min="1" max="1" width="63.42578125" style="1" bestFit="1" customWidth="1"/>
    <col min="2" max="4" width="8.85546875" style="5"/>
    <col min="5" max="5" width="8.85546875" style="1"/>
    <col min="6" max="6" width="12" style="1" customWidth="1"/>
    <col min="7" max="7" width="255.7109375" style="3" bestFit="1" customWidth="1"/>
    <col min="8" max="16384" width="8.85546875" style="1"/>
  </cols>
  <sheetData>
    <row r="1" spans="1:7" x14ac:dyDescent="0.25">
      <c r="A1" s="1">
        <v>2024</v>
      </c>
    </row>
    <row r="2" spans="1:7" x14ac:dyDescent="0.25">
      <c r="A2" s="19" t="s">
        <v>0</v>
      </c>
      <c r="B2" s="19"/>
      <c r="C2" s="19"/>
      <c r="D2" s="19"/>
      <c r="E2" s="19"/>
      <c r="F2" s="19"/>
      <c r="G2" s="19"/>
    </row>
    <row r="3" spans="1:7" x14ac:dyDescent="0.25">
      <c r="A3" s="1" t="s">
        <v>1</v>
      </c>
      <c r="B3" s="5" t="s">
        <v>2</v>
      </c>
      <c r="C3" s="5" t="s">
        <v>44</v>
      </c>
      <c r="D3" s="5" t="s">
        <v>45</v>
      </c>
      <c r="E3" s="1" t="s">
        <v>3</v>
      </c>
      <c r="F3" s="1" t="s">
        <v>46</v>
      </c>
      <c r="G3" s="3" t="s">
        <v>4</v>
      </c>
    </row>
    <row r="4" spans="1:7" x14ac:dyDescent="0.25">
      <c r="A4" s="1" t="s">
        <v>5</v>
      </c>
      <c r="B4" s="5">
        <v>18.989999999999998</v>
      </c>
      <c r="C4" s="5" t="s">
        <v>47</v>
      </c>
      <c r="D4" s="5">
        <f>B4</f>
        <v>18.989999999999998</v>
      </c>
      <c r="E4" s="1">
        <v>1</v>
      </c>
      <c r="F4" s="6">
        <f>D4*E4</f>
        <v>18.989999999999998</v>
      </c>
      <c r="G4" s="3" t="s">
        <v>6</v>
      </c>
    </row>
    <row r="5" spans="1:7" x14ac:dyDescent="0.25">
      <c r="A5" s="1" t="s">
        <v>7</v>
      </c>
      <c r="B5" s="5">
        <v>2.5</v>
      </c>
      <c r="C5" s="5" t="s">
        <v>47</v>
      </c>
      <c r="D5" s="5">
        <f t="shared" ref="D5:D11" si="0">B5</f>
        <v>2.5</v>
      </c>
      <c r="E5" s="1">
        <v>1</v>
      </c>
      <c r="F5" s="6">
        <f t="shared" ref="F5:F11" si="1">D5*E5</f>
        <v>2.5</v>
      </c>
      <c r="G5" s="3" t="s">
        <v>8</v>
      </c>
    </row>
    <row r="6" spans="1:7" x14ac:dyDescent="0.25">
      <c r="A6" s="1" t="s">
        <v>9</v>
      </c>
      <c r="B6" s="5">
        <v>5.95</v>
      </c>
      <c r="C6" s="5" t="s">
        <v>47</v>
      </c>
      <c r="D6" s="5">
        <f t="shared" si="0"/>
        <v>5.95</v>
      </c>
      <c r="E6" s="1">
        <v>1</v>
      </c>
      <c r="F6" s="6">
        <f t="shared" si="1"/>
        <v>5.95</v>
      </c>
      <c r="G6" s="3" t="s">
        <v>10</v>
      </c>
    </row>
    <row r="7" spans="1:7" x14ac:dyDescent="0.25">
      <c r="A7" s="1" t="s">
        <v>11</v>
      </c>
      <c r="B7" s="5">
        <v>19.95</v>
      </c>
      <c r="C7" s="5" t="s">
        <v>47</v>
      </c>
      <c r="D7" s="5">
        <f t="shared" si="0"/>
        <v>19.95</v>
      </c>
      <c r="E7" s="1">
        <v>2</v>
      </c>
      <c r="F7" s="6">
        <f t="shared" si="1"/>
        <v>39.9</v>
      </c>
      <c r="G7" s="3" t="s">
        <v>12</v>
      </c>
    </row>
    <row r="8" spans="1:7" x14ac:dyDescent="0.25">
      <c r="A8" s="1" t="s">
        <v>13</v>
      </c>
      <c r="B8" s="5">
        <v>5.95</v>
      </c>
      <c r="C8" s="5" t="s">
        <v>47</v>
      </c>
      <c r="D8" s="5">
        <f t="shared" si="0"/>
        <v>5.95</v>
      </c>
      <c r="E8" s="1">
        <v>1</v>
      </c>
      <c r="F8" s="6">
        <f t="shared" si="1"/>
        <v>5.95</v>
      </c>
      <c r="G8" s="3" t="s">
        <v>14</v>
      </c>
    </row>
    <row r="9" spans="1:7" x14ac:dyDescent="0.25">
      <c r="A9" s="1" t="s">
        <v>19</v>
      </c>
      <c r="B9" s="5">
        <v>65</v>
      </c>
      <c r="C9" s="5" t="s">
        <v>47</v>
      </c>
      <c r="D9" s="5">
        <f t="shared" si="0"/>
        <v>65</v>
      </c>
      <c r="E9" s="1">
        <v>1</v>
      </c>
      <c r="F9" s="6">
        <f t="shared" si="1"/>
        <v>65</v>
      </c>
      <c r="G9" s="3" t="s">
        <v>20</v>
      </c>
    </row>
    <row r="10" spans="1:7" x14ac:dyDescent="0.25">
      <c r="A10" s="1" t="s">
        <v>23</v>
      </c>
      <c r="B10" s="5">
        <v>19.989999999999998</v>
      </c>
      <c r="C10" s="5" t="s">
        <v>47</v>
      </c>
      <c r="D10" s="5">
        <f t="shared" si="0"/>
        <v>19.989999999999998</v>
      </c>
      <c r="E10" s="1">
        <v>1</v>
      </c>
      <c r="F10" s="6">
        <f t="shared" si="1"/>
        <v>19.989999999999998</v>
      </c>
      <c r="G10" s="3" t="s">
        <v>24</v>
      </c>
    </row>
    <row r="11" spans="1:7" x14ac:dyDescent="0.25">
      <c r="A11" s="1" t="s">
        <v>82</v>
      </c>
      <c r="B11" s="5">
        <v>22.1</v>
      </c>
      <c r="C11" s="5" t="s">
        <v>47</v>
      </c>
      <c r="D11" s="5">
        <f t="shared" si="0"/>
        <v>22.1</v>
      </c>
      <c r="E11" s="1">
        <v>1</v>
      </c>
      <c r="F11" s="6">
        <f t="shared" si="1"/>
        <v>22.1</v>
      </c>
      <c r="G11" s="3" t="s">
        <v>83</v>
      </c>
    </row>
    <row r="13" spans="1:7" x14ac:dyDescent="0.25">
      <c r="A13" s="19" t="s">
        <v>48</v>
      </c>
      <c r="B13" s="19"/>
      <c r="C13" s="19"/>
      <c r="D13" s="19"/>
      <c r="E13" s="19"/>
      <c r="F13" s="19"/>
      <c r="G13" s="19"/>
    </row>
    <row r="14" spans="1:7" x14ac:dyDescent="0.25">
      <c r="A14" s="1" t="s">
        <v>79</v>
      </c>
      <c r="B14" s="6">
        <v>7.99</v>
      </c>
      <c r="C14" s="1" t="s">
        <v>80</v>
      </c>
      <c r="D14" s="5">
        <f>B14/100</f>
        <v>7.9899999999999999E-2</v>
      </c>
      <c r="E14" s="1">
        <v>1</v>
      </c>
      <c r="F14" s="6">
        <f>D14*E14</f>
        <v>7.9899999999999999E-2</v>
      </c>
      <c r="G14" s="1" t="s">
        <v>81</v>
      </c>
    </row>
    <row r="15" spans="1:7" x14ac:dyDescent="0.25">
      <c r="A15" s="1" t="s">
        <v>28</v>
      </c>
      <c r="B15" s="5">
        <v>9.99</v>
      </c>
      <c r="C15" s="5" t="s">
        <v>49</v>
      </c>
      <c r="D15" s="5">
        <f>B15/30</f>
        <v>0.33300000000000002</v>
      </c>
      <c r="E15" s="1">
        <v>1</v>
      </c>
      <c r="F15" s="6">
        <f>D15*E15</f>
        <v>0.33300000000000002</v>
      </c>
      <c r="G15" s="3" t="s">
        <v>29</v>
      </c>
    </row>
    <row r="16" spans="1:7" x14ac:dyDescent="0.25">
      <c r="A16" s="1" t="s">
        <v>30</v>
      </c>
      <c r="B16" s="5">
        <v>33.99</v>
      </c>
      <c r="C16" s="5" t="s">
        <v>50</v>
      </c>
      <c r="D16" s="5">
        <f>B16/500</f>
        <v>6.7979999999999999E-2</v>
      </c>
      <c r="E16" s="1">
        <v>4</v>
      </c>
      <c r="F16" s="6">
        <f t="shared" ref="F16:F21" si="2">D16*E16</f>
        <v>0.27192</v>
      </c>
      <c r="G16" s="3" t="s">
        <v>31</v>
      </c>
    </row>
    <row r="17" spans="1:7" x14ac:dyDescent="0.25">
      <c r="A17" s="1" t="s">
        <v>51</v>
      </c>
      <c r="B17" s="5">
        <v>21.55</v>
      </c>
      <c r="C17" s="5" t="s">
        <v>52</v>
      </c>
      <c r="D17" s="5">
        <f>B17/50</f>
        <v>0.43099999999999999</v>
      </c>
      <c r="E17" s="1">
        <v>1</v>
      </c>
      <c r="F17" s="6">
        <f t="shared" si="2"/>
        <v>0.43099999999999999</v>
      </c>
      <c r="G17" s="3" t="s">
        <v>33</v>
      </c>
    </row>
    <row r="18" spans="1:7" x14ac:dyDescent="0.25">
      <c r="A18" s="1" t="s">
        <v>34</v>
      </c>
      <c r="B18" s="5">
        <v>27.88</v>
      </c>
      <c r="C18" s="5" t="s">
        <v>53</v>
      </c>
      <c r="D18" s="5">
        <f>B18/65</f>
        <v>0.42892307692307691</v>
      </c>
      <c r="E18" s="1">
        <v>7</v>
      </c>
      <c r="F18" s="6">
        <f t="shared" si="2"/>
        <v>3.0024615384615383</v>
      </c>
      <c r="G18" s="3" t="s">
        <v>35</v>
      </c>
    </row>
    <row r="19" spans="1:7" x14ac:dyDescent="0.25">
      <c r="A19" s="1" t="s">
        <v>36</v>
      </c>
      <c r="B19" s="5">
        <v>7.99</v>
      </c>
      <c r="C19" s="5" t="s">
        <v>54</v>
      </c>
      <c r="D19" s="5">
        <f>B19/20</f>
        <v>0.39950000000000002</v>
      </c>
      <c r="E19" s="1">
        <v>1</v>
      </c>
      <c r="F19" s="6">
        <f t="shared" si="2"/>
        <v>0.39950000000000002</v>
      </c>
      <c r="G19" s="3" t="s">
        <v>37</v>
      </c>
    </row>
    <row r="20" spans="1:7" x14ac:dyDescent="0.25">
      <c r="A20" s="1" t="s">
        <v>42</v>
      </c>
      <c r="B20" s="5">
        <v>8.59</v>
      </c>
      <c r="C20" s="5" t="s">
        <v>55</v>
      </c>
      <c r="D20" s="5">
        <f>B20/5</f>
        <v>1.718</v>
      </c>
      <c r="E20" s="1">
        <v>1</v>
      </c>
      <c r="F20" s="6">
        <f t="shared" si="2"/>
        <v>1.718</v>
      </c>
      <c r="G20" s="3" t="s">
        <v>43</v>
      </c>
    </row>
    <row r="21" spans="1:7" x14ac:dyDescent="0.25">
      <c r="A21" s="1" t="s">
        <v>56</v>
      </c>
      <c r="B21" s="5">
        <v>5.99</v>
      </c>
      <c r="C21" s="5" t="s">
        <v>57</v>
      </c>
      <c r="D21" s="5">
        <f>B21/60</f>
        <v>9.9833333333333343E-2</v>
      </c>
      <c r="E21" s="1">
        <v>1</v>
      </c>
      <c r="F21" s="6">
        <f t="shared" si="2"/>
        <v>9.9833333333333343E-2</v>
      </c>
      <c r="G21" s="4" t="s">
        <v>58</v>
      </c>
    </row>
    <row r="22" spans="1:7" x14ac:dyDescent="0.25">
      <c r="A22" s="1" t="s">
        <v>59</v>
      </c>
      <c r="B22" s="5">
        <v>2.5</v>
      </c>
      <c r="C22" s="5" t="s">
        <v>60</v>
      </c>
      <c r="D22" s="5">
        <f>B22/4</f>
        <v>0.625</v>
      </c>
      <c r="E22" s="1">
        <v>2</v>
      </c>
      <c r="F22" s="6">
        <f>D22*E22</f>
        <v>1.25</v>
      </c>
      <c r="G22" s="3" t="s">
        <v>61</v>
      </c>
    </row>
    <row r="23" spans="1:7" s="7" customFormat="1" x14ac:dyDescent="0.25">
      <c r="B23" s="8"/>
      <c r="C23" s="8"/>
      <c r="D23" s="8"/>
      <c r="G23" s="9"/>
    </row>
    <row r="24" spans="1:7" x14ac:dyDescent="0.25">
      <c r="A24" s="11" t="s">
        <v>62</v>
      </c>
      <c r="B24" s="12">
        <f>SUM(B14:B22,B4:B11)</f>
        <v>286.89999999999998</v>
      </c>
      <c r="C24" s="13"/>
      <c r="D24" s="12"/>
      <c r="E24" s="11"/>
      <c r="F24" s="12">
        <f>SUM(F14:F22,F4:F11)</f>
        <v>187.96561487179488</v>
      </c>
    </row>
    <row r="25" spans="1:7" x14ac:dyDescent="0.25">
      <c r="B25" s="10" t="s">
        <v>63</v>
      </c>
      <c r="F25" s="3" t="s">
        <v>64</v>
      </c>
    </row>
    <row r="27" spans="1:7" x14ac:dyDescent="0.25">
      <c r="A27" s="19" t="s">
        <v>68</v>
      </c>
      <c r="B27" s="19"/>
      <c r="C27" s="19"/>
      <c r="D27" s="19"/>
      <c r="E27" s="19"/>
      <c r="F27" s="19"/>
      <c r="G27" s="19"/>
    </row>
    <row r="28" spans="1:7" x14ac:dyDescent="0.25">
      <c r="A28" s="1" t="s">
        <v>69</v>
      </c>
      <c r="B28" s="5">
        <v>10.99</v>
      </c>
      <c r="E28" s="1">
        <v>1</v>
      </c>
      <c r="G28" s="3" t="s">
        <v>70</v>
      </c>
    </row>
    <row r="29" spans="1:7" x14ac:dyDescent="0.25">
      <c r="A29" s="1" t="s">
        <v>71</v>
      </c>
      <c r="B29" s="5">
        <v>21.99</v>
      </c>
      <c r="E29" s="1">
        <v>1</v>
      </c>
      <c r="G29" s="3" t="s">
        <v>72</v>
      </c>
    </row>
    <row r="30" spans="1:7" x14ac:dyDescent="0.25">
      <c r="A30" s="1" t="s">
        <v>74</v>
      </c>
      <c r="B30" s="5">
        <v>25.99</v>
      </c>
      <c r="E30" s="1">
        <v>1</v>
      </c>
      <c r="G30" s="3" t="s">
        <v>73</v>
      </c>
    </row>
    <row r="31" spans="1:7" x14ac:dyDescent="0.25">
      <c r="A31" s="1" t="s">
        <v>75</v>
      </c>
      <c r="B31" s="5">
        <v>24.99</v>
      </c>
      <c r="E31" s="1">
        <v>1</v>
      </c>
      <c r="G31" s="3" t="s">
        <v>77</v>
      </c>
    </row>
    <row r="32" spans="1:7" x14ac:dyDescent="0.25">
      <c r="A32" s="1" t="s">
        <v>76</v>
      </c>
      <c r="B32" s="5">
        <v>19.989999999999998</v>
      </c>
      <c r="E32" s="1">
        <v>1</v>
      </c>
      <c r="G32" s="3" t="s">
        <v>78</v>
      </c>
    </row>
    <row r="34" spans="1:7" x14ac:dyDescent="0.25">
      <c r="A34" s="15" t="s">
        <v>62</v>
      </c>
      <c r="B34" s="16">
        <f>SUM(B28:B32)</f>
        <v>103.94999999999999</v>
      </c>
      <c r="C34" s="17"/>
      <c r="D34" s="16"/>
      <c r="E34" s="15"/>
      <c r="F34" s="16"/>
      <c r="G34" s="18"/>
    </row>
    <row r="37" spans="1:7" x14ac:dyDescent="0.25">
      <c r="A37" s="3" t="s">
        <v>65</v>
      </c>
    </row>
    <row r="38" spans="1:7" x14ac:dyDescent="0.25">
      <c r="A38" s="14" t="s">
        <v>66</v>
      </c>
    </row>
    <row r="39" spans="1:7" x14ac:dyDescent="0.25">
      <c r="A39" s="14" t="s">
        <v>67</v>
      </c>
    </row>
  </sheetData>
  <mergeCells count="3">
    <mergeCell ref="A2:G2"/>
    <mergeCell ref="A13:G13"/>
    <mergeCell ref="A27:G27"/>
  </mergeCells>
  <hyperlinks>
    <hyperlink ref="G21" r:id="rId1" xr:uid="{50608113-C209-4C4A-87F2-FEA94D41E8CE}"/>
    <hyperlink ref="A38" r:id="rId2" xr:uid="{CF27A860-8EB6-4609-9AAF-08650E20187A}"/>
    <hyperlink ref="A39" r:id="rId3" xr:uid="{55FE673A-BC99-49AB-A11C-E8202D9DBC9E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F2DA36292A241BB6B602A04ACAAD9" ma:contentTypeVersion="18" ma:contentTypeDescription="Create a new document." ma:contentTypeScope="" ma:versionID="0e65193b06eae86f79c3903a4a9f0dcf">
  <xsd:schema xmlns:xsd="http://www.w3.org/2001/XMLSchema" xmlns:xs="http://www.w3.org/2001/XMLSchema" xmlns:p="http://schemas.microsoft.com/office/2006/metadata/properties" xmlns:ns2="167cb1e9-24b5-43e0-9f5d-14a54474cc90" xmlns:ns3="fbf6f0f6-9634-473c-8838-2f74fc79f714" targetNamespace="http://schemas.microsoft.com/office/2006/metadata/properties" ma:root="true" ma:fieldsID="03593a2a675d04ffa4dc626c9c15704c" ns2:_="" ns3:_="">
    <xsd:import namespace="167cb1e9-24b5-43e0-9f5d-14a54474cc90"/>
    <xsd:import namespace="fbf6f0f6-9634-473c-8838-2f74fc79f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cb1e9-24b5-43e0-9f5d-14a54474c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6f0f6-9634-473c-8838-2f74fc79f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5f66235-b96d-4e13-a177-e10a401c611c}" ma:internalName="TaxCatchAll" ma:showField="CatchAllData" ma:web="fbf6f0f6-9634-473c-8838-2f74fc79f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cb1e9-24b5-43e0-9f5d-14a54474cc90">
      <Terms xmlns="http://schemas.microsoft.com/office/infopath/2007/PartnerControls"/>
    </lcf76f155ced4ddcb4097134ff3c332f>
    <TaxCatchAll xmlns="fbf6f0f6-9634-473c-8838-2f74fc79f7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E81F03-6419-4048-A634-C688504EC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cb1e9-24b5-43e0-9f5d-14a54474cc90"/>
    <ds:schemaRef ds:uri="fbf6f0f6-9634-473c-8838-2f74fc79f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FE033F-E9EE-49D3-A665-ABA46FC899E9}">
  <ds:schemaRefs>
    <ds:schemaRef ds:uri="http://schemas.microsoft.com/office/2006/metadata/properties"/>
    <ds:schemaRef ds:uri="http://schemas.microsoft.com/office/infopath/2007/PartnerControls"/>
    <ds:schemaRef ds:uri="167cb1e9-24b5-43e0-9f5d-14a54474cc90"/>
    <ds:schemaRef ds:uri="fbf6f0f6-9634-473c-8838-2f74fc79f714"/>
  </ds:schemaRefs>
</ds:datastoreItem>
</file>

<file path=customXml/itemProps3.xml><?xml version="1.0" encoding="utf-8"?>
<ds:datastoreItem xmlns:ds="http://schemas.openxmlformats.org/officeDocument/2006/customXml" ds:itemID="{1BD73F7C-F428-40BF-8E52-A9BC4D2C98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Deleon,Manny</dc:creator>
  <cp:keywords/>
  <dc:description/>
  <cp:lastModifiedBy>A.J. Brown</cp:lastModifiedBy>
  <cp:revision/>
  <dcterms:created xsi:type="dcterms:W3CDTF">2023-12-11T19:42:28Z</dcterms:created>
  <dcterms:modified xsi:type="dcterms:W3CDTF">2024-02-13T15:28:12Z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0x010100678F2DA36292A241BB6B602A04ACAAD9</vt:lpwstr>
  </property>
  <property fmtid="{D5CDD505-2E9C-101B-9397-08002B2CF9AE}" pid="3" name="MediaServiceImageTags">
    <vt:lpwstr/>
  </property>
</Properties>
</file>